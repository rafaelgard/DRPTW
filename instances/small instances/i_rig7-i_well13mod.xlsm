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<sst xmlns="http://schemas.openxmlformats.org/spreadsheetml/2006/main" count="70" uniqueCount="41">
  <si>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</si>
  <si>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</si>
  <si>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</si>
  <si>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</si>
  <si>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</si>
  <si>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</si>
  <si>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</si>
  <si>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</si>
  <si>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</si>
  <si>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</si>
  <si>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</si>
  <si>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</si>
  <si>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</si>
  <si>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</si>
  <si>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</si>
  <si>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Drillship 7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</si>
  <si>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</si>
  <si>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</si>
  <si>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</si>
  <si>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</si>
  <si>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</si>
  <si>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</si>
  <si>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</si>
  <si>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</si>
  <si>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</si>
  <si>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</si>
  <si>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</si>
  <si>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</si>
  <si>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</si>
  <si>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</si>
  <si>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</si>
  <si>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</si>
  <si>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</si>
  <si>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</si>
  <si>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</si>
  <si>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</si>
  <si>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</si>
  <si>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Workover</t>
  </si>
  <si>
    <t xml:space="preserve">LB1NW-I2</t>
  </si>
  <si>
    <t xml:space="preserve">LB1NW-I5</t>
  </si>
  <si>
    <t xml:space="preserve">LB1NW-I8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</si>
</sst>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A1" activeCellId="0" sqref="A1"/>
    </sheetView>
  </sheetViews>
  <sheetFormatPr defaultColWidth="8.54296875" defaultRowHeight="14.25" zeroHeight="false" outlineLevelRow="0" outlineLevelCol="0"/>
  <cols>
    <col collapsed="false" customWidth="true" hidden="false" outlineLevel="0" max="1" min="1" style="1" width="22.67"/>
    <col collapsed="false" customWidth="true" hidden="false" outlineLevel="0" max="2" min="2" style="1" width="19.33"/>
    <col collapsed="false" customWidth="true" hidden="false" outlineLevel="0" max="3" min="3" style="1" width="17.88"/>
    <col collapsed="false" customWidth="true" hidden="false" outlineLevel="0" max="4" min="4" style="1" width="10.56"/>
    <col collapsed="false" customWidth="true" hidden="false" outlineLevel="0" max="5" min="5" style="1" width="10.11"/>
    <col collapsed="false" customWidth="true" hidden="false" outlineLevel="0" max="6" min="6" style="1" width="23.67"/>
    <col collapsed="false" customWidth="true" hidden="false" outlineLevel="0" max="7" min="7" style="1" width="23.33"/>
    <col collapsed="false" customWidth="true" hidden="false" outlineLevel="0" max="8" min="8" style="1" width="25.33"/>
    <col collapsed="false" customWidth="true" hidden="false" outlineLevel="0" max="9" min="9" style="1" width="23"/>
    <col collapsed="false" customWidth="true" hidden="false" outlineLevel="0" max="10" min="10" style="1" width="10.44"/>
  </cols>
  <sheetData>
    <row r="1" customFormat="false" ht="14.2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/>
    </row>
    <row r="2" customFormat="false" ht="13.8" hidden="false" customHeight="false" outlineLevel="0" collapsed="false">
      <c r="A2" s="4" t="s">
        <v>9</v>
      </c>
      <c r="B2" s="5" t="n">
        <v>44228</v>
      </c>
      <c r="C2" s="5" t="n">
        <v>45054</v>
      </c>
      <c r="D2" s="6" t="n">
        <v>100</v>
      </c>
      <c r="E2" s="6" t="n">
        <v>392.56439</v>
      </c>
      <c r="F2" s="4" t="n">
        <v>406</v>
      </c>
      <c r="G2" s="4" t="n">
        <v>36</v>
      </c>
      <c r="H2" s="4" t="n">
        <v>33</v>
      </c>
      <c r="I2" s="4" t="n">
        <f aca="false">G2+H2</f>
        <v>69</v>
      </c>
      <c r="J2" s="3"/>
    </row>
    <row r="3" customFormat="false" ht="13.8" hidden="false" customHeight="false" outlineLevel="0" collapsed="false">
      <c r="A3" s="4" t="s">
        <v>10</v>
      </c>
      <c r="B3" s="5" t="n">
        <v>44209</v>
      </c>
      <c r="C3" s="5" t="n">
        <v>45170</v>
      </c>
      <c r="D3" s="6" t="n">
        <v>750</v>
      </c>
      <c r="E3" s="6" t="n">
        <v>100</v>
      </c>
      <c r="F3" s="4" t="n">
        <v>451</v>
      </c>
      <c r="G3" s="4" t="n">
        <v>43</v>
      </c>
      <c r="H3" s="4" t="n">
        <v>23</v>
      </c>
      <c r="I3" s="4" t="n">
        <f aca="false">G3+H3</f>
        <v>66</v>
      </c>
    </row>
    <row r="4" customFormat="false" ht="13.8" hidden="false" customHeight="false" outlineLevel="0" collapsed="false">
      <c r="A4" s="4" t="s">
        <v>11</v>
      </c>
      <c r="B4" s="5" t="n">
        <v>44225</v>
      </c>
      <c r="C4" s="5" t="n">
        <v>44669</v>
      </c>
      <c r="D4" s="6" t="n">
        <v>303.443</v>
      </c>
      <c r="E4" s="6" t="n">
        <v>366.0754</v>
      </c>
      <c r="F4" s="4" t="n">
        <v>240</v>
      </c>
      <c r="G4" s="4" t="n">
        <v>60</v>
      </c>
      <c r="H4" s="4" t="n">
        <v>34</v>
      </c>
      <c r="I4" s="4" t="n">
        <f aca="false">G4+H4</f>
        <v>94</v>
      </c>
    </row>
    <row r="5" customFormat="false" ht="13.8" hidden="false" customHeight="false" outlineLevel="0" collapsed="false">
      <c r="A5" s="4" t="s">
        <v>12</v>
      </c>
      <c r="B5" s="5" t="n">
        <v>44210</v>
      </c>
      <c r="C5" s="5" t="n">
        <v>44693</v>
      </c>
      <c r="D5" s="6" t="n">
        <v>349.28</v>
      </c>
      <c r="E5" s="6" t="n">
        <v>372.24139</v>
      </c>
      <c r="F5" s="4" t="n">
        <v>293</v>
      </c>
      <c r="G5" s="4" t="n">
        <v>64</v>
      </c>
      <c r="H5" s="4" t="n">
        <v>29</v>
      </c>
      <c r="I5" s="4" t="n">
        <f aca="false">G5+H5</f>
        <v>93</v>
      </c>
    </row>
    <row r="6" customFormat="false" ht="13.8" hidden="false" customHeight="false" outlineLevel="0" collapsed="false">
      <c r="A6" s="4" t="s">
        <v>13</v>
      </c>
      <c r="B6" s="5" t="n">
        <v>44197</v>
      </c>
      <c r="C6" s="5" t="n">
        <v>44561</v>
      </c>
      <c r="D6" s="6" t="n">
        <v>301.428</v>
      </c>
      <c r="E6" s="6" t="n">
        <v>100</v>
      </c>
      <c r="F6" s="4" t="n">
        <v>226</v>
      </c>
      <c r="G6" s="4" t="n">
        <v>46</v>
      </c>
      <c r="H6" s="4" t="n">
        <v>31</v>
      </c>
      <c r="I6" s="4" t="n">
        <f aca="false">G6+H6</f>
        <v>77</v>
      </c>
    </row>
    <row r="7" customFormat="false" ht="13.8" hidden="false" customHeight="false" outlineLevel="0" collapsed="false">
      <c r="A7" s="4" t="s">
        <v>14</v>
      </c>
      <c r="B7" s="5" t="n">
        <v>44217</v>
      </c>
      <c r="C7" s="5" t="n">
        <v>44561</v>
      </c>
      <c r="D7" s="6" t="n">
        <v>500</v>
      </c>
      <c r="E7" s="6" t="n">
        <v>400</v>
      </c>
      <c r="F7" s="4" t="n">
        <v>226</v>
      </c>
      <c r="G7" s="4" t="n">
        <v>61</v>
      </c>
      <c r="H7" s="4" t="n">
        <v>28</v>
      </c>
      <c r="I7" s="4" t="n">
        <f aca="false">G7+H7</f>
        <v>89</v>
      </c>
    </row>
    <row r="8" customFormat="false" ht="13.8" hidden="false" customHeight="false" outlineLevel="0" collapsed="false">
      <c r="A8" s="4" t="s">
        <v>15</v>
      </c>
      <c r="B8" s="5" t="n">
        <v>44223</v>
      </c>
      <c r="C8" s="5" t="n">
        <v>44415</v>
      </c>
      <c r="D8" s="6" t="n">
        <v>600</v>
      </c>
      <c r="E8" s="6" t="n">
        <v>50</v>
      </c>
      <c r="F8" s="4" t="n">
        <v>257</v>
      </c>
      <c r="G8" s="4" t="n">
        <v>45</v>
      </c>
      <c r="H8" s="4" t="n">
        <v>24</v>
      </c>
      <c r="I8" s="4" t="n">
        <f aca="false">G8+H8</f>
        <v>69</v>
      </c>
    </row>
    <row r="16" customFormat="false" ht="14.25" hidden="false" customHeight="false" outlineLevel="0" collapsed="false">
      <c r="D16" s="6"/>
      <c r="E16" s="6"/>
      <c r="F16" s="6"/>
      <c r="G16" s="6"/>
    </row>
    <row r="17" customFormat="false" ht="14.25" hidden="false" customHeight="false" outlineLevel="0" collapsed="false">
      <c r="D17" s="6"/>
      <c r="E17" s="6"/>
    </row>
    <row r="18" customFormat="false" ht="14.25" hidden="false" customHeight="false" outlineLevel="0" collapsed="false">
      <c r="D18" s="6"/>
      <c r="E18" s="6"/>
    </row>
    <row r="19" customFormat="false" ht="14.25" hidden="false" customHeight="false" outlineLevel="0" collapsed="false">
      <c r="D19" s="6"/>
      <c r="E19" s="6"/>
    </row>
    <row r="20" customFormat="false" ht="14.25" hidden="false" customHeight="false" outlineLevel="0" collapsed="false">
      <c r="D20" s="6"/>
      <c r="E20" s="6"/>
    </row>
    <row r="21" customFormat="false" ht="14.25" hidden="false" customHeight="false" outlineLevel="0" collapsed="false">
      <c r="D21" s="6"/>
      <c r="E21" s="6"/>
    </row>
    <row r="22" customFormat="false" ht="14.25" hidden="false" customHeight="false" outlineLevel="0" collapsed="false">
      <c r="D22" s="6"/>
      <c r="E22" s="6"/>
    </row>
    <row r="23" customFormat="false" ht="14.25" hidden="false" customHeight="false" outlineLevel="0" collapsed="false">
      <c r="D23" s="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1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C1" activeCellId="0" sqref="C1"/>
    </sheetView>
  </sheetViews>
  <sheetFormatPr defaultColWidth="8.54296875" defaultRowHeight="14.25" zeroHeight="false" outlineLevelRow="0" outlineLevelCol="0"/>
  <cols>
    <col collapsed="false" customWidth="true" hidden="false" outlineLevel="0" max="2" min="2" style="1" width="28.11"/>
    <col collapsed="false" customWidth="true" hidden="false" outlineLevel="0" max="3" min="3" style="1" width="11.33"/>
    <col collapsed="false" customWidth="true" hidden="false" outlineLevel="0" max="4" min="4" style="1" width="11.67"/>
    <col collapsed="false" customWidth="true" hidden="false" outlineLevel="0" max="5" min="5" style="1" width="26.44"/>
    <col collapsed="false" customWidth="true" hidden="false" outlineLevel="0" max="6" min="6" style="1" width="15.44"/>
    <col collapsed="false" customWidth="true" hidden="false" outlineLevel="0" max="7" min="7" style="1" width="14.67"/>
    <col collapsed="false" customWidth="true" hidden="false" outlineLevel="0" max="8" min="8" style="1" width="14.33"/>
    <col collapsed="false" customWidth="true" hidden="false" outlineLevel="0" max="9" min="9" style="1" width="20.11"/>
    <col collapsed="false" customWidth="true" hidden="false" outlineLevel="0" max="10" min="10" style="1" width="13.67"/>
    <col collapsed="false" customWidth="true" hidden="false" outlineLevel="0" max="11" min="11" style="1" width="12.33"/>
    <col collapsed="false" customWidth="true" hidden="false" outlineLevel="0" max="12" min="12" style="1" width="10.66"/>
    <col collapsed="false" customWidth="true" hidden="false" outlineLevel="0" max="19" min="19" style="1" width="10.44"/>
  </cols>
  <sheetData>
    <row r="1" customFormat="false" ht="14.25" hidden="false" customHeight="false" outlineLevel="0" collapsed="false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  <c r="G1" s="2" t="s">
        <v>22</v>
      </c>
      <c r="H1" s="2" t="s">
        <v>23</v>
      </c>
      <c r="I1" s="2" t="s">
        <v>24</v>
      </c>
      <c r="J1" s="2" t="s">
        <v>25</v>
      </c>
    </row>
    <row r="2" customFormat="false" ht="14.25" hidden="false" customHeight="false" outlineLevel="0" collapsed="false">
      <c r="A2" s="4" t="s">
        <v>26</v>
      </c>
      <c r="B2" s="7" t="s">
        <v>27</v>
      </c>
      <c r="C2" s="4" t="n">
        <v>1</v>
      </c>
      <c r="D2" s="7" t="s">
        <v>28</v>
      </c>
      <c r="E2" s="7" t="s">
        <v>29</v>
      </c>
      <c r="F2" s="4" t="n">
        <v>0</v>
      </c>
      <c r="G2" s="8" t="n">
        <v>0</v>
      </c>
      <c r="H2" s="8" t="n">
        <v>415.5994</v>
      </c>
      <c r="I2" s="5" t="n">
        <v>44197</v>
      </c>
      <c r="J2" s="9" t="n">
        <v>44561</v>
      </c>
    </row>
    <row r="3" customFormat="false" ht="14.25" hidden="false" customHeight="false" outlineLevel="0" collapsed="false">
      <c r="A3" s="4" t="s">
        <v>26</v>
      </c>
      <c r="B3" s="7" t="s">
        <v>30</v>
      </c>
      <c r="C3" s="4" t="n">
        <v>2</v>
      </c>
      <c r="D3" s="7" t="s">
        <v>28</v>
      </c>
      <c r="E3" s="7" t="s">
        <v>31</v>
      </c>
      <c r="F3" s="4" t="n">
        <f aca="false">IF(AND(B3=B2,D3="Completação"),C2,0)</f>
        <v>0</v>
      </c>
      <c r="G3" s="8" t="n">
        <v>542.952</v>
      </c>
      <c r="H3" s="8" t="n">
        <v>429.5934</v>
      </c>
      <c r="I3" s="5" t="n">
        <v>44197</v>
      </c>
      <c r="J3" s="9" t="n">
        <v>44561</v>
      </c>
    </row>
    <row r="4" customFormat="false" ht="14.25" hidden="false" customHeight="false" outlineLevel="0" collapsed="false">
      <c r="A4" s="4" t="s">
        <v>26</v>
      </c>
      <c r="B4" s="7" t="s">
        <v>32</v>
      </c>
      <c r="C4" s="4" t="n">
        <v>3</v>
      </c>
      <c r="D4" s="7" t="s">
        <v>28</v>
      </c>
      <c r="E4" s="7" t="s">
        <v>31</v>
      </c>
      <c r="F4" s="4" t="n">
        <f aca="false">IF(AND(B4=B3,D4="Completação"),C3,0)</f>
        <v>0</v>
      </c>
      <c r="G4" s="8" t="n">
        <v>546.857</v>
      </c>
      <c r="H4" s="8" t="n">
        <v>416.9464</v>
      </c>
      <c r="I4" s="5" t="n">
        <v>44197</v>
      </c>
      <c r="J4" s="9" t="n">
        <v>44561</v>
      </c>
    </row>
    <row r="5" customFormat="false" ht="14.25" hidden="false" customHeight="false" outlineLevel="0" collapsed="false">
      <c r="A5" s="4" t="s">
        <v>26</v>
      </c>
      <c r="B5" s="7" t="s">
        <v>33</v>
      </c>
      <c r="C5" s="4" t="n">
        <v>4</v>
      </c>
      <c r="D5" s="7" t="s">
        <v>28</v>
      </c>
      <c r="E5" s="7" t="s">
        <v>31</v>
      </c>
      <c r="F5" s="4" t="n">
        <f aca="false">IF(AND(B5=B4,D5="Completação"),C4,0)</f>
        <v>0</v>
      </c>
      <c r="G5" s="8" t="n">
        <v>344.828</v>
      </c>
      <c r="H5" s="8" t="n">
        <v>390.8344</v>
      </c>
      <c r="I5" s="5" t="n">
        <v>44197</v>
      </c>
      <c r="J5" s="9" t="n">
        <v>44259</v>
      </c>
    </row>
    <row r="6" customFormat="false" ht="14.25" hidden="false" customHeight="false" outlineLevel="0" collapsed="false">
      <c r="A6" s="4" t="s">
        <v>26</v>
      </c>
      <c r="B6" s="7" t="s">
        <v>34</v>
      </c>
      <c r="C6" s="4" t="n">
        <v>5</v>
      </c>
      <c r="D6" s="7" t="s">
        <v>28</v>
      </c>
      <c r="E6" s="7" t="s">
        <v>31</v>
      </c>
      <c r="F6" s="4" t="n">
        <f aca="false">IF(AND(B6=B5,D6="Completação"),C5,0)</f>
        <v>0</v>
      </c>
      <c r="G6" s="8" t="n">
        <v>339.063</v>
      </c>
      <c r="H6" s="8" t="n">
        <v>392.5534</v>
      </c>
      <c r="I6" s="5" t="n">
        <v>44197</v>
      </c>
      <c r="J6" s="9" t="n">
        <v>44561</v>
      </c>
    </row>
    <row r="7" customFormat="false" ht="14.25" hidden="false" customHeight="false" outlineLevel="0" collapsed="false">
      <c r="A7" s="4" t="s">
        <v>26</v>
      </c>
      <c r="B7" s="7" t="s">
        <v>35</v>
      </c>
      <c r="C7" s="4" t="n">
        <v>6</v>
      </c>
      <c r="D7" s="7" t="s">
        <v>36</v>
      </c>
      <c r="E7" s="7" t="s">
        <v>31</v>
      </c>
      <c r="F7" s="4" t="n">
        <f aca="false">IF(AND(B7=B6,D7="Completação"),C6,0)</f>
        <v>0</v>
      </c>
      <c r="G7" s="8" t="n">
        <v>545.274</v>
      </c>
      <c r="H7" s="8" t="n">
        <v>429.5754</v>
      </c>
      <c r="I7" s="5" t="n">
        <v>44197</v>
      </c>
      <c r="J7" s="9" t="n">
        <v>44561</v>
      </c>
    </row>
    <row r="8" customFormat="false" ht="13.8" hidden="false" customHeight="false" outlineLevel="0" collapsed="false">
      <c r="A8" s="4" t="s">
        <v>26</v>
      </c>
      <c r="B8" s="7" t="s">
        <v>35</v>
      </c>
      <c r="C8" s="4" t="n">
        <v>7</v>
      </c>
      <c r="D8" s="7" t="s">
        <v>37</v>
      </c>
      <c r="E8" s="7" t="s">
        <v>31</v>
      </c>
      <c r="F8" s="4" t="n">
        <f aca="false">IF(AND(B8=B7,D8="Completação"),C7,0)</f>
        <v>0</v>
      </c>
      <c r="G8" s="8" t="n">
        <v>366.676</v>
      </c>
      <c r="H8" s="8" t="n">
        <v>358.4124</v>
      </c>
      <c r="I8" s="5" t="n">
        <v>44197</v>
      </c>
      <c r="J8" s="9" t="n">
        <v>44298</v>
      </c>
      <c r="L8" s="10"/>
    </row>
    <row r="9" customFormat="false" ht="13.8" hidden="false" customHeight="false" outlineLevel="0" collapsed="false">
      <c r="A9" s="4" t="s">
        <v>26</v>
      </c>
      <c r="B9" s="7" t="s">
        <v>38</v>
      </c>
      <c r="C9" s="4" t="n">
        <v>8</v>
      </c>
      <c r="D9" s="7" t="s">
        <v>37</v>
      </c>
      <c r="E9" s="7" t="s">
        <v>31</v>
      </c>
      <c r="F9" s="4" t="n">
        <v>0</v>
      </c>
      <c r="G9" s="8" t="n">
        <v>346.41</v>
      </c>
      <c r="H9" s="8" t="n">
        <v>396.06739</v>
      </c>
      <c r="I9" s="5" t="n">
        <v>44197</v>
      </c>
      <c r="J9" s="9" t="n">
        <v>44369</v>
      </c>
      <c r="L9" s="10"/>
    </row>
    <row r="10" customFormat="false" ht="14.25" hidden="false" customHeight="false" outlineLevel="0" collapsed="false">
      <c r="A10" s="4" t="s">
        <v>26</v>
      </c>
      <c r="B10" s="7" t="s">
        <v>39</v>
      </c>
      <c r="C10" s="4" t="n">
        <v>9</v>
      </c>
      <c r="D10" s="7" t="s">
        <v>36</v>
      </c>
      <c r="E10" s="7" t="s">
        <v>31</v>
      </c>
      <c r="F10" s="4" t="n">
        <v>0</v>
      </c>
      <c r="G10" s="8" t="n">
        <v>349.45</v>
      </c>
      <c r="H10" s="8" t="n">
        <v>391.7404</v>
      </c>
      <c r="I10" s="5" t="n">
        <v>44197</v>
      </c>
      <c r="J10" s="9" t="n">
        <v>44220</v>
      </c>
    </row>
    <row r="11" customFormat="false" ht="14.25" hidden="false" customHeight="false" outlineLevel="0" collapsed="false">
      <c r="A11" s="4" t="s">
        <v>26</v>
      </c>
      <c r="B11" s="7" t="s">
        <v>39</v>
      </c>
      <c r="C11" s="4" t="n">
        <v>10</v>
      </c>
      <c r="D11" s="7" t="s">
        <v>36</v>
      </c>
      <c r="E11" s="7" t="s">
        <v>31</v>
      </c>
      <c r="F11" s="4" t="n">
        <f aca="false">IF(AND(B11=B10,D11="Completação"),C10,0)</f>
        <v>0</v>
      </c>
      <c r="G11" s="8" t="n">
        <v>0</v>
      </c>
      <c r="H11" s="8" t="n">
        <v>415.5994</v>
      </c>
      <c r="I11" s="5" t="n">
        <v>44197</v>
      </c>
      <c r="J11" s="9" t="n">
        <v>44561</v>
      </c>
    </row>
    <row r="12" customFormat="false" ht="14.25" hidden="false" customHeight="false" outlineLevel="0" collapsed="false">
      <c r="A12" s="4" t="s">
        <v>26</v>
      </c>
      <c r="B12" s="7" t="s">
        <v>40</v>
      </c>
      <c r="C12" s="4" t="n">
        <v>11</v>
      </c>
      <c r="D12" s="7" t="s">
        <v>36</v>
      </c>
      <c r="E12" s="7" t="s">
        <v>31</v>
      </c>
      <c r="F12" s="4" t="n">
        <f aca="false">IF(AND(B12=Atividades!B11,D12="Completação"),Atividades!C11,0)</f>
        <v>0</v>
      </c>
      <c r="G12" s="8" t="n">
        <v>337.145</v>
      </c>
      <c r="H12" s="8" t="n">
        <v>389.5944</v>
      </c>
      <c r="I12" s="5" t="n">
        <v>44197</v>
      </c>
      <c r="J12" s="9" t="n">
        <v>44437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47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2024-04-29T11:43:55Z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