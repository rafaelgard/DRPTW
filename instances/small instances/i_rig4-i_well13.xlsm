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_rels/workbook.xml.rels" ContentType="application/vnd.openxmlformats-package.relationship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ondas" sheetId="1" state="visible" r:id="rId4"/>
    <sheet name="Atividades" sheetId="2" state="visible" r:id="rId5"/>
  </sheets>
  <definedNames/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<sst xmlns="http://schemas.openxmlformats.org/spreadsheetml/2006/main" count="75" uniqueCount="37">
  <si>
    <t xml:space="preserve">Sonda</t>
  </si>
  <si>
    <t xml:space="preserve">Disponibilidade Inicio</t>
  </si>
  <si>
    <t xml:space="preserve">Disponibilidade Fim</t>
  </si>
  <si>
    <t xml:space="preserve">Pos x</t>
  </si>
  <si>
    <t xml:space="preserve">Pos y</t>
  </si>
  <si>
    <t xml:space="preserve">Velocidade Média(km/dia)</t>
  </si>
  <si>
    <t xml:space="preserve">Eficiência Perfuração(dias)</t>
  </si>
  <si>
    <t xml:space="preserve">Eficiência Completação(dias)</t>
  </si>
  <si>
    <t xml:space="preserve">Eficiência Workover (dias)</t>
  </si>
  <si>
    <t xml:space="preserve">Drillship 1</t>
  </si>
  <si>
    <t xml:space="preserve">Drillship 2</t>
  </si>
  <si>
    <t xml:space="preserve">Drillship 3</t>
  </si>
  <si>
    <t xml:space="preserve">Drillship 4</t>
  </si>
  <si>
    <t xml:space="preserve">Cluster</t>
  </si>
  <si>
    <t xml:space="preserve">Nome</t>
  </si>
  <si>
    <t xml:space="preserve">Atividade id</t>
  </si>
  <si>
    <t xml:space="preserve">Tipo</t>
  </si>
  <si>
    <t xml:space="preserve">Projeto</t>
  </si>
  <si>
    <t xml:space="preserve">Precedência</t>
  </si>
  <si>
    <t xml:space="preserve">Pos X</t>
  </si>
  <si>
    <t xml:space="preserve">Pos Y</t>
  </si>
  <si>
    <t xml:space="preserve">Iniciar A Partir De</t>
  </si>
  <si>
    <t xml:space="preserve">Iniciar Até</t>
  </si>
  <si>
    <t xml:space="preserve">Libra</t>
  </si>
  <si>
    <t xml:space="preserve">3-RJS-744</t>
  </si>
  <si>
    <t xml:space="preserve">Completação</t>
  </si>
  <si>
    <t xml:space="preserve">MERO 2</t>
  </si>
  <si>
    <t xml:space="preserve">3-RJS-749D</t>
  </si>
  <si>
    <t xml:space="preserve">MERO 1</t>
  </si>
  <si>
    <t xml:space="preserve">7-MRO-3-RJS</t>
  </si>
  <si>
    <t xml:space="preserve">8-MRO-4-RJS</t>
  </si>
  <si>
    <t xml:space="preserve">8-MRO-8-RJS</t>
  </si>
  <si>
    <t xml:space="preserve">LB1NW-I1</t>
  </si>
  <si>
    <t xml:space="preserve">Perfuração</t>
  </si>
  <si>
    <t xml:space="preserve">LB1NW-I2</t>
  </si>
  <si>
    <t xml:space="preserve">LB1NW-I5</t>
  </si>
  <si>
    <t xml:space="preserve">LB1NW-I8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</si>
</sst>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d/m/yyyy"/>
    <numFmt numFmtId="166" formatCode="0.00"/>
  </numFmts>
  <fonts count="5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theme="1"/>
      <name val="Calibri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/>
      <bottom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2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23"/>
  <sheetViews>
    <sheetView showFormulas="false" showGridLines="true" showRowColHeaders="true" showZeros="true" rightToLeft="false" tabSelected="true" showOutlineSymbols="true" defaultGridColor="true" view="normal" topLeftCell="A1" colorId="64" zoomScale="104" zoomScaleNormal="104" zoomScalePageLayoutView="100" workbookViewId="0">
      <selection pane="topLeft" activeCell="A6" activeCellId="0" sqref="A6"/>
    </sheetView>
  </sheetViews>
  <sheetFormatPr defaultColWidth="8.54296875" defaultRowHeight="14.25" zeroHeight="false" outlineLevelRow="0" outlineLevelCol="0"/>
  <cols>
    <col collapsed="false" customWidth="true" hidden="false" outlineLevel="0" max="1" min="1" style="0" width="22.77"/>
    <col collapsed="false" customWidth="true" hidden="false" outlineLevel="0" max="2" min="2" style="0" width="19.33"/>
    <col collapsed="false" customWidth="true" hidden="false" outlineLevel="0" max="3" min="3" style="0" width="17.88"/>
    <col collapsed="false" customWidth="true" hidden="false" outlineLevel="0" max="4" min="4" style="0" width="10.56"/>
    <col collapsed="false" customWidth="true" hidden="false" outlineLevel="0" max="5" min="5" style="0" width="10.11"/>
    <col collapsed="false" customWidth="true" hidden="false" outlineLevel="0" max="6" min="6" style="0" width="23.67"/>
    <col collapsed="false" customWidth="true" hidden="false" outlineLevel="0" max="7" min="7" style="0" width="23.33"/>
    <col collapsed="false" customWidth="true" hidden="false" outlineLevel="0" max="8" min="8" style="0" width="25.22"/>
    <col collapsed="false" customWidth="true" hidden="false" outlineLevel="0" max="9" min="9" style="0" width="23"/>
    <col collapsed="false" customWidth="true" hidden="false" outlineLevel="0" max="10" min="10" style="0" width="10.44"/>
  </cols>
  <sheetData>
    <row r="1" customFormat="false" ht="14.2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2"/>
    </row>
    <row r="2" customFormat="false" ht="14.25" hidden="false" customHeight="false" outlineLevel="0" collapsed="false">
      <c r="A2" s="3" t="s">
        <v>9</v>
      </c>
      <c r="B2" s="4" t="n">
        <v>44228</v>
      </c>
      <c r="C2" s="4" t="n">
        <v>45054</v>
      </c>
      <c r="D2" s="5" t="n">
        <v>100</v>
      </c>
      <c r="E2" s="5" t="n">
        <v>392.56439</v>
      </c>
      <c r="F2" s="3" t="n">
        <v>406</v>
      </c>
      <c r="G2" s="3" t="n">
        <v>36</v>
      </c>
      <c r="H2" s="3" t="n">
        <v>33</v>
      </c>
      <c r="I2" s="3" t="n">
        <v>24</v>
      </c>
      <c r="J2" s="2"/>
    </row>
    <row r="3" customFormat="false" ht="14.25" hidden="false" customHeight="false" outlineLevel="0" collapsed="false">
      <c r="A3" s="3" t="s">
        <v>10</v>
      </c>
      <c r="B3" s="4" t="n">
        <v>44209</v>
      </c>
      <c r="C3" s="4" t="n">
        <v>45170</v>
      </c>
      <c r="D3" s="5" t="n">
        <v>750</v>
      </c>
      <c r="E3" s="5" t="n">
        <v>100</v>
      </c>
      <c r="F3" s="3" t="n">
        <v>451</v>
      </c>
      <c r="G3" s="3" t="n">
        <v>43</v>
      </c>
      <c r="H3" s="3" t="n">
        <v>23</v>
      </c>
      <c r="I3" s="3" t="n">
        <v>17</v>
      </c>
    </row>
    <row r="4" customFormat="false" ht="14.25" hidden="false" customHeight="false" outlineLevel="0" collapsed="false">
      <c r="A4" s="3" t="s">
        <v>11</v>
      </c>
      <c r="B4" s="4" t="n">
        <v>44225</v>
      </c>
      <c r="C4" s="4" t="n">
        <v>44669</v>
      </c>
      <c r="D4" s="5" t="n">
        <v>303.443</v>
      </c>
      <c r="E4" s="5" t="n">
        <v>366.0754</v>
      </c>
      <c r="F4" s="3" t="n">
        <v>240</v>
      </c>
      <c r="G4" s="3" t="n">
        <v>60</v>
      </c>
      <c r="H4" s="3" t="n">
        <v>34</v>
      </c>
      <c r="I4" s="3" t="n">
        <v>35</v>
      </c>
    </row>
    <row r="5" customFormat="false" ht="14.25" hidden="false" customHeight="false" outlineLevel="0" collapsed="false">
      <c r="A5" s="3" t="s">
        <v>12</v>
      </c>
      <c r="B5" s="4" t="n">
        <v>44210</v>
      </c>
      <c r="C5" s="4" t="n">
        <v>44693</v>
      </c>
      <c r="D5" s="5" t="n">
        <v>349.28</v>
      </c>
      <c r="E5" s="5" t="n">
        <v>372.24139</v>
      </c>
      <c r="F5" s="3" t="n">
        <v>293</v>
      </c>
      <c r="G5" s="3" t="n">
        <v>64</v>
      </c>
      <c r="H5" s="3" t="n">
        <v>29</v>
      </c>
      <c r="I5" s="3" t="n">
        <v>13</v>
      </c>
    </row>
    <row r="16" customFormat="false" ht="14.25" hidden="false" customHeight="false" outlineLevel="0" collapsed="false">
      <c r="D16" s="5"/>
      <c r="E16" s="5"/>
      <c r="F16" s="5"/>
      <c r="G16" s="5"/>
    </row>
    <row r="17" customFormat="false" ht="14.25" hidden="false" customHeight="false" outlineLevel="0" collapsed="false">
      <c r="D17" s="5"/>
      <c r="E17" s="5"/>
    </row>
    <row r="18" customFormat="false" ht="14.25" hidden="false" customHeight="false" outlineLevel="0" collapsed="false">
      <c r="D18" s="5"/>
      <c r="E18" s="5"/>
    </row>
    <row r="19" customFormat="false" ht="14.25" hidden="false" customHeight="false" outlineLevel="0" collapsed="false">
      <c r="D19" s="5"/>
      <c r="E19" s="5"/>
    </row>
    <row r="20" customFormat="false" ht="14.25" hidden="false" customHeight="false" outlineLevel="0" collapsed="false">
      <c r="D20" s="5"/>
      <c r="E20" s="5"/>
    </row>
    <row r="21" customFormat="false" ht="14.25" hidden="false" customHeight="false" outlineLevel="0" collapsed="false">
      <c r="D21" s="5"/>
      <c r="E21" s="5"/>
    </row>
    <row r="22" customFormat="false" ht="14.25" hidden="false" customHeight="false" outlineLevel="0" collapsed="false">
      <c r="D22" s="5"/>
      <c r="E22" s="5"/>
    </row>
    <row r="23" customFormat="false" ht="14.25" hidden="false" customHeight="false" outlineLevel="0" collapsed="false">
      <c r="D23" s="5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4"/>
  <sheetViews>
    <sheetView showFormulas="false" showGridLines="true" showRowColHeaders="true" showZeros="true" rightToLeft="false" tabSelected="false" showOutlineSymbols="true" defaultGridColor="true" view="normal" topLeftCell="A1" colorId="64" zoomScale="99" zoomScaleNormal="99" zoomScalePageLayoutView="100" workbookViewId="0">
      <selection pane="topLeft" activeCell="A12" activeCellId="0" sqref="A12"/>
    </sheetView>
  </sheetViews>
  <sheetFormatPr defaultColWidth="8.54296875" defaultRowHeight="14.25" zeroHeight="false" outlineLevelRow="0" outlineLevelCol="0"/>
  <cols>
    <col collapsed="false" customWidth="true" hidden="false" outlineLevel="0" max="2" min="2" style="0" width="28.11"/>
    <col collapsed="false" customWidth="true" hidden="false" outlineLevel="0" max="3" min="3" style="0" width="11.22"/>
    <col collapsed="false" customWidth="true" hidden="false" outlineLevel="0" max="4" min="4" style="0" width="11.77"/>
    <col collapsed="false" customWidth="true" hidden="false" outlineLevel="0" max="5" min="5" style="0" width="26.44"/>
    <col collapsed="false" customWidth="true" hidden="false" outlineLevel="0" max="6" min="6" style="0" width="15.44"/>
    <col collapsed="false" customWidth="true" hidden="false" outlineLevel="0" max="7" min="7" style="0" width="14.67"/>
    <col collapsed="false" customWidth="true" hidden="false" outlineLevel="0" max="8" min="8" style="0" width="14.21"/>
    <col collapsed="false" customWidth="true" hidden="false" outlineLevel="0" max="9" min="9" style="0" width="20.11"/>
    <col collapsed="false" customWidth="true" hidden="false" outlineLevel="0" max="10" min="10" style="0" width="13.77"/>
    <col collapsed="false" customWidth="true" hidden="false" outlineLevel="0" max="19" min="19" style="0" width="10.44"/>
  </cols>
  <sheetData>
    <row r="1" customFormat="false" ht="14.25" hidden="false" customHeight="false" outlineLevel="0" collapsed="false">
      <c r="A1" s="1" t="s">
        <v>13</v>
      </c>
      <c r="B1" s="1" t="s">
        <v>14</v>
      </c>
      <c r="C1" s="1" t="s">
        <v>15</v>
      </c>
      <c r="D1" s="1" t="s">
        <v>16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21</v>
      </c>
      <c r="J1" s="1" t="s">
        <v>22</v>
      </c>
    </row>
    <row r="2" customFormat="false" ht="14.25" hidden="false" customHeight="false" outlineLevel="0" collapsed="false">
      <c r="A2" s="3" t="s">
        <v>23</v>
      </c>
      <c r="B2" s="6" t="s">
        <v>24</v>
      </c>
      <c r="C2" s="3" t="n">
        <v>1</v>
      </c>
      <c r="D2" s="6" t="s">
        <v>25</v>
      </c>
      <c r="E2" s="6" t="s">
        <v>26</v>
      </c>
      <c r="F2" s="3" t="n">
        <v>0</v>
      </c>
      <c r="G2" s="7" t="n">
        <v>0</v>
      </c>
      <c r="H2" s="7" t="n">
        <v>415.5994</v>
      </c>
      <c r="I2" s="4" t="n">
        <v>44197</v>
      </c>
      <c r="J2" s="8" t="n">
        <v>44561</v>
      </c>
    </row>
    <row r="3" customFormat="false" ht="14.25" hidden="false" customHeight="false" outlineLevel="0" collapsed="false">
      <c r="A3" s="3" t="s">
        <v>23</v>
      </c>
      <c r="B3" s="6" t="s">
        <v>27</v>
      </c>
      <c r="C3" s="3" t="n">
        <v>2</v>
      </c>
      <c r="D3" s="6" t="s">
        <v>25</v>
      </c>
      <c r="E3" s="6" t="s">
        <v>28</v>
      </c>
      <c r="F3" s="3" t="n">
        <f aca="false">IF(AND(B3=B2,D3="Completação"),C2,0)</f>
        <v>0</v>
      </c>
      <c r="G3" s="7" t="n">
        <v>542.952</v>
      </c>
      <c r="H3" s="7" t="n">
        <v>429.5934</v>
      </c>
      <c r="I3" s="4" t="n">
        <v>44197</v>
      </c>
      <c r="J3" s="8" t="n">
        <v>44561</v>
      </c>
    </row>
    <row r="4" customFormat="false" ht="14.25" hidden="false" customHeight="false" outlineLevel="0" collapsed="false">
      <c r="A4" s="3" t="s">
        <v>23</v>
      </c>
      <c r="B4" s="6" t="s">
        <v>29</v>
      </c>
      <c r="C4" s="3" t="n">
        <v>3</v>
      </c>
      <c r="D4" s="6" t="s">
        <v>25</v>
      </c>
      <c r="E4" s="6" t="s">
        <v>28</v>
      </c>
      <c r="F4" s="3" t="n">
        <f aca="false">IF(AND(B4=B3,D4="Completação"),C3,0)</f>
        <v>0</v>
      </c>
      <c r="G4" s="7" t="n">
        <v>546.857</v>
      </c>
      <c r="H4" s="7" t="n">
        <v>416.9464</v>
      </c>
      <c r="I4" s="4" t="n">
        <v>44197</v>
      </c>
      <c r="J4" s="8" t="n">
        <v>44561</v>
      </c>
    </row>
    <row r="5" customFormat="false" ht="14.25" hidden="false" customHeight="false" outlineLevel="0" collapsed="false">
      <c r="A5" s="3" t="s">
        <v>23</v>
      </c>
      <c r="B5" s="6" t="s">
        <v>30</v>
      </c>
      <c r="C5" s="3" t="n">
        <v>4</v>
      </c>
      <c r="D5" s="6" t="s">
        <v>25</v>
      </c>
      <c r="E5" s="6" t="s">
        <v>28</v>
      </c>
      <c r="F5" s="3" t="n">
        <f aca="false">IF(AND(B5=B4,D5="Completação"),C4,0)</f>
        <v>0</v>
      </c>
      <c r="G5" s="7" t="n">
        <v>344.828</v>
      </c>
      <c r="H5" s="7" t="n">
        <v>390.8344</v>
      </c>
      <c r="I5" s="4" t="n">
        <v>44197</v>
      </c>
      <c r="J5" s="8" t="n">
        <v>44259</v>
      </c>
    </row>
    <row r="6" customFormat="false" ht="14.25" hidden="false" customHeight="false" outlineLevel="0" collapsed="false">
      <c r="A6" s="3" t="s">
        <v>23</v>
      </c>
      <c r="B6" s="6" t="s">
        <v>31</v>
      </c>
      <c r="C6" s="3" t="n">
        <v>5</v>
      </c>
      <c r="D6" s="6" t="s">
        <v>25</v>
      </c>
      <c r="E6" s="6" t="s">
        <v>28</v>
      </c>
      <c r="F6" s="3" t="n">
        <f aca="false">IF(AND(B6=B5,D6="Completação"),C5,0)</f>
        <v>0</v>
      </c>
      <c r="G6" s="7" t="n">
        <v>339.063</v>
      </c>
      <c r="H6" s="7" t="n">
        <v>392.5534</v>
      </c>
      <c r="I6" s="4" t="n">
        <v>44197</v>
      </c>
      <c r="J6" s="8" t="n">
        <v>44561</v>
      </c>
    </row>
    <row r="7" customFormat="false" ht="14.25" hidden="false" customHeight="false" outlineLevel="0" collapsed="false">
      <c r="A7" s="3" t="s">
        <v>23</v>
      </c>
      <c r="B7" s="6" t="s">
        <v>32</v>
      </c>
      <c r="C7" s="3" t="n">
        <v>6</v>
      </c>
      <c r="D7" s="6" t="s">
        <v>33</v>
      </c>
      <c r="E7" s="6" t="s">
        <v>28</v>
      </c>
      <c r="F7" s="3" t="n">
        <f aca="false">IF(AND(B7=B6,D7="Completação"),C6,0)</f>
        <v>0</v>
      </c>
      <c r="G7" s="7" t="n">
        <v>545.274</v>
      </c>
      <c r="H7" s="7" t="n">
        <v>429.5754</v>
      </c>
      <c r="I7" s="4" t="n">
        <v>44197</v>
      </c>
      <c r="J7" s="8" t="n">
        <v>44561</v>
      </c>
    </row>
    <row r="8" customFormat="false" ht="14.25" hidden="false" customHeight="false" outlineLevel="0" collapsed="false">
      <c r="A8" s="3" t="s">
        <v>23</v>
      </c>
      <c r="B8" s="6" t="s">
        <v>32</v>
      </c>
      <c r="C8" s="3" t="n">
        <v>7</v>
      </c>
      <c r="D8" s="6" t="s">
        <v>33</v>
      </c>
      <c r="E8" s="6" t="s">
        <v>28</v>
      </c>
      <c r="F8" s="3" t="n">
        <f aca="false">IF(AND(B8=B7,D8="Completação"),C7,0)</f>
        <v>0</v>
      </c>
      <c r="G8" s="7" t="n">
        <v>366.676</v>
      </c>
      <c r="H8" s="7" t="n">
        <v>358.4124</v>
      </c>
      <c r="I8" s="4" t="n">
        <v>44197</v>
      </c>
      <c r="J8" s="8" t="n">
        <v>44561</v>
      </c>
    </row>
    <row r="9" customFormat="false" ht="14.25" hidden="false" customHeight="false" outlineLevel="0" collapsed="false">
      <c r="A9" s="3" t="s">
        <v>23</v>
      </c>
      <c r="B9" s="6" t="s">
        <v>32</v>
      </c>
      <c r="C9" s="3" t="n">
        <v>8</v>
      </c>
      <c r="D9" s="6" t="s">
        <v>25</v>
      </c>
      <c r="E9" s="6" t="s">
        <v>28</v>
      </c>
      <c r="F9" s="3" t="n">
        <f aca="false">IF(AND(B9=B8,D9="Completação"),C8,0)</f>
        <v>7</v>
      </c>
      <c r="G9" s="7" t="n">
        <v>366.676</v>
      </c>
      <c r="H9" s="7" t="n">
        <v>358.4124</v>
      </c>
      <c r="I9" s="4" t="n">
        <v>44197</v>
      </c>
      <c r="J9" s="8" t="n">
        <v>44298</v>
      </c>
    </row>
    <row r="10" customFormat="false" ht="14.25" hidden="false" customHeight="false" outlineLevel="0" collapsed="false">
      <c r="A10" s="3" t="s">
        <v>23</v>
      </c>
      <c r="B10" s="6" t="s">
        <v>34</v>
      </c>
      <c r="C10" s="3" t="n">
        <v>9</v>
      </c>
      <c r="D10" s="6" t="s">
        <v>33</v>
      </c>
      <c r="E10" s="6" t="s">
        <v>28</v>
      </c>
      <c r="F10" s="3" t="n">
        <f aca="false">IF(AND(B10=Atividades!B9,D10="Completação"),Atividades!C9,0)</f>
        <v>0</v>
      </c>
      <c r="G10" s="7" t="n">
        <v>346.41</v>
      </c>
      <c r="H10" s="7" t="n">
        <v>396.06739</v>
      </c>
      <c r="I10" s="4" t="n">
        <v>44197</v>
      </c>
      <c r="J10" s="8" t="n">
        <v>44561</v>
      </c>
    </row>
    <row r="11" customFormat="false" ht="14.25" hidden="false" customHeight="false" outlineLevel="0" collapsed="false">
      <c r="A11" s="3" t="s">
        <v>23</v>
      </c>
      <c r="B11" s="6" t="s">
        <v>34</v>
      </c>
      <c r="C11" s="3" t="n">
        <v>10</v>
      </c>
      <c r="D11" s="6" t="s">
        <v>25</v>
      </c>
      <c r="E11" s="6" t="s">
        <v>28</v>
      </c>
      <c r="F11" s="3" t="n">
        <f aca="false">IF(AND(B11=Atividades!B10,D11="Completação"),Atividades!C10,0)</f>
        <v>9</v>
      </c>
      <c r="G11" s="7" t="n">
        <v>346.41</v>
      </c>
      <c r="H11" s="7" t="n">
        <v>396.06739</v>
      </c>
      <c r="I11" s="4" t="n">
        <v>44197</v>
      </c>
      <c r="J11" s="8" t="n">
        <v>44369</v>
      </c>
    </row>
    <row r="12" customFormat="false" ht="14.25" hidden="false" customHeight="false" outlineLevel="0" collapsed="false">
      <c r="A12" s="3" t="s">
        <v>23</v>
      </c>
      <c r="B12" s="6" t="s">
        <v>35</v>
      </c>
      <c r="C12" s="3" t="n">
        <v>11</v>
      </c>
      <c r="D12" s="6" t="s">
        <v>33</v>
      </c>
      <c r="E12" s="6" t="s">
        <v>28</v>
      </c>
      <c r="F12" s="3" t="n">
        <f aca="false">IF(AND(B12=Atividades!B11,D12="Completação"),Atividades!C11,0)</f>
        <v>0</v>
      </c>
      <c r="G12" s="7" t="n">
        <v>349.45</v>
      </c>
      <c r="H12" s="7" t="n">
        <v>391.7404</v>
      </c>
      <c r="I12" s="4" t="n">
        <v>44197</v>
      </c>
      <c r="J12" s="8" t="n">
        <v>44220</v>
      </c>
    </row>
    <row r="13" customFormat="false" ht="14.25" hidden="false" customHeight="false" outlineLevel="0" collapsed="false">
      <c r="A13" s="3" t="s">
        <v>23</v>
      </c>
      <c r="B13" s="6" t="s">
        <v>35</v>
      </c>
      <c r="C13" s="3" t="n">
        <v>12</v>
      </c>
      <c r="D13" s="6" t="s">
        <v>33</v>
      </c>
      <c r="E13" s="6" t="s">
        <v>28</v>
      </c>
      <c r="F13" s="3" t="n">
        <f aca="false">IF(AND(B13=B12,D13="Completação"),C12,0)</f>
        <v>0</v>
      </c>
      <c r="G13" s="7" t="n">
        <v>0</v>
      </c>
      <c r="H13" s="7" t="n">
        <v>415.5994</v>
      </c>
      <c r="I13" s="4" t="n">
        <v>44197</v>
      </c>
      <c r="J13" s="8" t="n">
        <v>44561</v>
      </c>
    </row>
    <row r="14" customFormat="false" ht="14.25" hidden="false" customHeight="false" outlineLevel="0" collapsed="false">
      <c r="A14" s="3" t="s">
        <v>23</v>
      </c>
      <c r="B14" s="6" t="s">
        <v>36</v>
      </c>
      <c r="C14" s="3" t="n">
        <v>13</v>
      </c>
      <c r="D14" s="6" t="s">
        <v>33</v>
      </c>
      <c r="E14" s="6" t="s">
        <v>28</v>
      </c>
      <c r="F14" s="3" t="n">
        <f aca="false">IF(AND(B14=Atividades!B13,D14="Completação"),Atividades!C13,0)</f>
        <v>0</v>
      </c>
      <c r="G14" s="7" t="n">
        <v>337.145</v>
      </c>
      <c r="H14" s="7" t="n">
        <v>389.5944</v>
      </c>
      <c r="I14" s="4" t="n">
        <v>44197</v>
      </c>
      <c r="J14" s="8" t="n">
        <v>44437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LibreOffice/7.6.2.1$Windows_X86_64 LibreOffice_project/56f7684011345957bbf33a7ee678afaf4d2ba333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2021-03-18T20:27:05Z</dcterms:created>
  <dc:creator>Tiago Montanher</dc:creator>
  <dc:description/>
  <dc:language>pt-BR</dc:language>
  <cp:lastModifiedBy/>
  <dcterms:modified xsi:type="dcterms:W3CDTF">2024-04-29T11:38:19Z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